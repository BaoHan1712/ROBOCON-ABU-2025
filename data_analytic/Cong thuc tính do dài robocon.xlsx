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folder\robocon\data_analytic\"/>
    </mc:Choice>
  </mc:AlternateContent>
  <xr:revisionPtr revIDLastSave="0" documentId="13_ncr:1_{960D1E96-2F1B-451C-8AF7-96E057318DD1}" xr6:coauthVersionLast="47" xr6:coauthVersionMax="47" xr10:uidLastSave="{00000000-0000-0000-0000-000000000000}"/>
  <bookViews>
    <workbookView xWindow="-108" yWindow="-108" windowWidth="23256" windowHeight="13896" xr2:uid="{DCDD2B40-9009-4D4B-8742-1EEAF761AA2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7" i="1" s="1"/>
  <c r="D2" i="2"/>
  <c r="E2" i="2"/>
  <c r="H7" i="2"/>
  <c r="F7" i="2"/>
  <c r="A7" i="2"/>
  <c r="A3" i="2"/>
  <c r="B12" i="1"/>
  <c r="B13" i="1" s="1"/>
  <c r="B15" i="1" l="1"/>
  <c r="B7" i="2"/>
  <c r="D7" i="2" s="1"/>
  <c r="E7" i="2" l="1"/>
  <c r="C7" i="2"/>
  <c r="I7" i="2" s="1"/>
  <c r="D12" i="2" s="1"/>
  <c r="G7" i="2" l="1"/>
  <c r="A12" i="2" s="1"/>
  <c r="E12" i="2"/>
  <c r="B12" i="2" l="1"/>
</calcChain>
</file>

<file path=xl/sharedStrings.xml><?xml version="1.0" encoding="utf-8"?>
<sst xmlns="http://schemas.openxmlformats.org/spreadsheetml/2006/main" count="38" uniqueCount="29">
  <si>
    <t>EC</t>
  </si>
  <si>
    <t>AB</t>
  </si>
  <si>
    <t>AC</t>
  </si>
  <si>
    <t>BC</t>
  </si>
  <si>
    <t>DEC</t>
  </si>
  <si>
    <t>DC</t>
  </si>
  <si>
    <t>DC 1 công thức</t>
  </si>
  <si>
    <t>ED</t>
  </si>
  <si>
    <t>EB</t>
  </si>
  <si>
    <t>BN</t>
  </si>
  <si>
    <t>CT</t>
  </si>
  <si>
    <t>MN</t>
  </si>
  <si>
    <t>CL</t>
  </si>
  <si>
    <t>KM</t>
  </si>
  <si>
    <t>DB</t>
  </si>
  <si>
    <t>BT</t>
  </si>
  <si>
    <t>NT</t>
  </si>
  <si>
    <t>∠NBT</t>
  </si>
  <si>
    <t>∠CBT</t>
  </si>
  <si>
    <t>∠EBD</t>
  </si>
  <si>
    <t>∠CBD</t>
  </si>
  <si>
    <t>∠BCD</t>
  </si>
  <si>
    <t>TL</t>
  </si>
  <si>
    <t>CY</t>
  </si>
  <si>
    <t>KC</t>
  </si>
  <si>
    <t>∠CKY</t>
  </si>
  <si>
    <t>giữ</t>
  </si>
  <si>
    <t>điền</t>
  </si>
  <si>
    <t>góc: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</si>
</sst>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198120</xdr:colOff>
      <xdr:row>0</xdr:row>
      <xdr:rowOff>22860</xdr:rowOff>
    </xdr:from>
    <xdr:to>
      <xdr:col>15</xdr:col>
      <xdr:colOff>165735</xdr:colOff>
      <xdr:row>21</xdr:row>
      <xdr:rowOff>29444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6F02D5-727A-B382-BEC6-969F530F5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620" y="22860"/>
          <a:ext cx="3625215" cy="3847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29C3-DF15-4E3E-88DF-DB471DBD7D47}">
  <dimension ref="A1:C17"/>
  <sheetViews>
    <sheetView tabSelected="1" workbookViewId="0">
      <selection activeCell="A2" sqref="A2"/>
    </sheetView>
  </sheetViews>
  <sheetFormatPr defaultRowHeight="14.4" x14ac:dyDescent="0.3"/>
  <cols>
    <col min="1" max="1" width="18.88671875" customWidth="1"/>
    <col min="2" max="2" width="12.109375" customWidth="1"/>
    <col min="10" max="10" width="13.109375" customWidth="1"/>
  </cols>
  <sheetData>
    <row r="1" spans="1:3" x14ac:dyDescent="0.3">
      <c r="A1">
        <v>55</v>
      </c>
      <c r="C1" t="s">
        <v>1</v>
      </c>
    </row>
    <row r="2" spans="1:3" x14ac:dyDescent="0.3">
      <c r="A2">
        <v>230</v>
      </c>
      <c r="C2" t="s">
        <v>3</v>
      </c>
    </row>
    <row r="3" spans="1:3" x14ac:dyDescent="0.3">
      <c r="A3">
        <v>260</v>
      </c>
      <c r="C3" t="s">
        <v>2</v>
      </c>
    </row>
    <row r="4" spans="1:3" x14ac:dyDescent="0.3">
      <c r="A4">
        <v>35</v>
      </c>
      <c r="C4" t="s">
        <v>7</v>
      </c>
    </row>
    <row r="12" spans="1:3" x14ac:dyDescent="0.3">
      <c r="A12" t="s">
        <v>0</v>
      </c>
      <c r="B12">
        <f>0.5*SQRT(2*A3^2 + 2*A2^2 - A1^2)</f>
        <v>243.91340676559787</v>
      </c>
    </row>
    <row r="13" spans="1:3" x14ac:dyDescent="0.3">
      <c r="A13" t="s">
        <v>4</v>
      </c>
      <c r="B13">
        <f>90-DEGREES(ACOS(((A1/2)^2 + B12^2 - A2^2)/(2*(A1/2)*B12)))</f>
        <v>33.221998372189965</v>
      </c>
    </row>
    <row r="15" spans="1:3" x14ac:dyDescent="0.3">
      <c r="A15" t="s">
        <v>5</v>
      </c>
      <c r="B15">
        <f>SQRT(B12^2 + A4^2 - 2*B12*A4*COS(RADIANS(B13)))</f>
        <v>215.48892817051646</v>
      </c>
    </row>
    <row r="16" spans="1:3" x14ac:dyDescent="0.3">
      <c r="A16" t="s">
        <v>6</v>
      </c>
      <c r="B16">
        <f>SQRT(0.25*(2*A3^2 + 2*A2^2 - A1^2)+ A4^2- A4 * SQRT(2*A3^2 + 2*A2^2 - A1^2)* SQRT(1 - ((A3^2 - A2^2)^2) / (A1^2 * (2*A3^2 + 2*A2^2 - A1^2))))</f>
        <v>215.48892817051643</v>
      </c>
    </row>
    <row r="17" spans="1:2" x14ac:dyDescent="0.3">
      <c r="A17" t="s">
        <v>28</v>
      </c>
      <c r="B17">
        <f>DEGREES(ACOS((A3^2 + B16^2 - A2^2)/(2*A3*B16)))</f>
        <v>56.935128244375534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397D-17C8-48F4-91D8-A8D286BF559E}">
  <dimension ref="A1:I12"/>
  <sheetViews>
    <sheetView workbookViewId="0">
      <selection activeCell="D3" sqref="D3"/>
    </sheetView>
  </sheetViews>
  <sheetFormatPr defaultRowHeight="14.4" x14ac:dyDescent="0.3"/>
  <cols>
    <col min="4" max="4" width="8.88671875" customWidth="1"/>
    <col min="8" max="8" width="9.44140625" customWidth="1"/>
  </cols>
  <sheetData>
    <row r="1" spans="1:9" x14ac:dyDescent="0.3">
      <c r="A1" s="1" t="s">
        <v>8</v>
      </c>
      <c r="B1" s="1" t="s">
        <v>7</v>
      </c>
      <c r="C1" s="1" t="s">
        <v>9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9" x14ac:dyDescent="0.3">
      <c r="A2" s="1">
        <v>55</v>
      </c>
      <c r="B2" s="1">
        <v>35</v>
      </c>
      <c r="C2" s="1">
        <v>310</v>
      </c>
      <c r="D2" s="1">
        <f>D3+D5</f>
        <v>603</v>
      </c>
      <c r="E2" s="1">
        <f>E3-E5</f>
        <v>185</v>
      </c>
      <c r="F2" s="1">
        <v>700</v>
      </c>
      <c r="G2" s="1">
        <v>40</v>
      </c>
      <c r="H2" s="1">
        <v>400</v>
      </c>
    </row>
    <row r="3" spans="1:9" x14ac:dyDescent="0.3">
      <c r="A3">
        <f>365-C3</f>
        <v>55</v>
      </c>
      <c r="B3">
        <v>35</v>
      </c>
      <c r="C3">
        <v>310</v>
      </c>
      <c r="D3">
        <v>553</v>
      </c>
      <c r="E3">
        <v>208</v>
      </c>
      <c r="F3">
        <v>700</v>
      </c>
      <c r="G3">
        <v>150</v>
      </c>
      <c r="H3">
        <v>400</v>
      </c>
    </row>
    <row r="4" spans="1:9" x14ac:dyDescent="0.3">
      <c r="A4" t="s">
        <v>26</v>
      </c>
      <c r="B4" t="s">
        <v>26</v>
      </c>
      <c r="C4" t="s">
        <v>26</v>
      </c>
      <c r="D4" t="s">
        <v>27</v>
      </c>
      <c r="E4" t="s">
        <v>27</v>
      </c>
      <c r="F4" t="s">
        <v>26</v>
      </c>
      <c r="G4" t="s">
        <v>27</v>
      </c>
      <c r="H4" t="s">
        <v>27</v>
      </c>
    </row>
    <row r="5" spans="1:9" x14ac:dyDescent="0.3">
      <c r="D5">
        <v>50</v>
      </c>
      <c r="E5">
        <v>23</v>
      </c>
    </row>
    <row r="6" spans="1:9" x14ac:dyDescent="0.3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22</v>
      </c>
      <c r="I6" t="s">
        <v>23</v>
      </c>
    </row>
    <row r="7" spans="1:9" x14ac:dyDescent="0.3">
      <c r="A7">
        <f>SQRT(A2^2 + B2^2)</f>
        <v>65.192024052026483</v>
      </c>
      <c r="B7">
        <f>SQRT(D2^2 + E2^2)</f>
        <v>630.74083425762126</v>
      </c>
      <c r="C7">
        <f>SQRT(B7^2 - C2^2)</f>
        <v>549.30319496613163</v>
      </c>
      <c r="D7">
        <f>DEGREES(ACOS(C2/B7))</f>
        <v>60.561731295548618</v>
      </c>
      <c r="E7">
        <f>DEGREES(COS(D2/B7))</f>
        <v>33.046883320217198</v>
      </c>
      <c r="F7">
        <f>DEGREES(ACOS(A2/A7))</f>
        <v>32.471192290848478</v>
      </c>
      <c r="G7">
        <f>180 - (F7 + E7 + D7)</f>
        <v>53.920193093385706</v>
      </c>
      <c r="H7">
        <f>SQRT(E2^2 - G2^2)</f>
        <v>180.62391868188442</v>
      </c>
      <c r="I7">
        <f>F2 - C7 - H7</f>
        <v>-29.927113648016046</v>
      </c>
    </row>
    <row r="11" spans="1:9" x14ac:dyDescent="0.3">
      <c r="A11" t="s">
        <v>5</v>
      </c>
      <c r="B11" t="s">
        <v>21</v>
      </c>
      <c r="D11" t="s">
        <v>24</v>
      </c>
      <c r="E11" t="s">
        <v>25</v>
      </c>
    </row>
    <row r="12" spans="1:9" x14ac:dyDescent="0.3">
      <c r="A12">
        <f>SQRT(A7^2 + D2^2 - 2 * A7 * D2 * COS(RADIANS(G7)))</f>
        <v>567.06070432405306</v>
      </c>
      <c r="B12">
        <f>DEGREES(ASIN(SIN(RADIANS(G7)) * A7 / A12))</f>
        <v>5.3312851250851034</v>
      </c>
      <c r="D12">
        <f>SQRT((H2-G2)^2 + I7^2)</f>
        <v>361.24179178398128</v>
      </c>
      <c r="E12">
        <f>DEGREES(COS(I7/D12))</f>
        <v>57.099272560231647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Cao Tuan</dc:creator>
  <cp:lastModifiedBy>Han Bao</cp:lastModifiedBy>
  <dcterms:created xsi:type="dcterms:W3CDTF">2025-04-30T03:17:03Z</dcterms:created>
  <dcterms:modified xsi:type="dcterms:W3CDTF">2025-05-20T15:01:38Z</dcterms:modified>
</cp:coreProperties>
</file>